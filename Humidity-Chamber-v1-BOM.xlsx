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fer/HMS Dropbox/RIC/Projects/Datta Lab Humidity Chamber PCB/"/>
    </mc:Choice>
  </mc:AlternateContent>
  <xr:revisionPtr revIDLastSave="0" documentId="13_ncr:1_{38655124-739D-3144-898C-6569F0334B60}" xr6:coauthVersionLast="47" xr6:coauthVersionMax="47" xr10:uidLastSave="{00000000-0000-0000-0000-000000000000}"/>
  <bookViews>
    <workbookView xWindow="0" yWindow="500" windowWidth="39140" windowHeight="25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8" i="1" l="1"/>
  <c r="I19" i="1"/>
  <c r="I31" i="1"/>
  <c r="I7" i="1"/>
  <c r="I15" i="1" l="1"/>
  <c r="I16" i="1"/>
  <c r="I17" i="1"/>
  <c r="I21" i="1"/>
  <c r="I22" i="1"/>
  <c r="I23" i="1"/>
  <c r="I9" i="1"/>
  <c r="I8" i="1"/>
  <c r="I33" i="1"/>
  <c r="I29" i="1"/>
  <c r="I12" i="1"/>
  <c r="I14" i="1"/>
  <c r="I20" i="1"/>
  <c r="I24" i="1"/>
  <c r="I25" i="1"/>
  <c r="I26" i="1"/>
  <c r="I27" i="1"/>
  <c r="I28" i="1"/>
  <c r="I6" i="1"/>
  <c r="I36" i="1" l="1"/>
</calcChain>
</file>

<file path=xl/sharedStrings.xml><?xml version="1.0" encoding="utf-8"?>
<sst xmlns="http://schemas.openxmlformats.org/spreadsheetml/2006/main" count="97" uniqueCount="77">
  <si>
    <t>Vendor</t>
  </si>
  <si>
    <t>Qty</t>
  </si>
  <si>
    <t>Price</t>
  </si>
  <si>
    <t>Total</t>
  </si>
  <si>
    <t>Part #</t>
  </si>
  <si>
    <t>Item</t>
  </si>
  <si>
    <t>PCB</t>
  </si>
  <si>
    <t>Notes</t>
  </si>
  <si>
    <t>Digikey</t>
  </si>
  <si>
    <t>Standoffs</t>
  </si>
  <si>
    <t>McMaster</t>
  </si>
  <si>
    <t>WM5514-ND</t>
  </si>
  <si>
    <t xml:space="preserve">CP-202A-ND </t>
  </si>
  <si>
    <t>S7057-ND</t>
  </si>
  <si>
    <t>Advanced Circuits</t>
  </si>
  <si>
    <t>Minimum order of 3 to qualify for the $33 special</t>
  </si>
  <si>
    <t>PCB Label</t>
  </si>
  <si>
    <t>Sensirion SFC6000D-5slm</t>
  </si>
  <si>
    <t>1649-SFC6000D-5SLM-ND</t>
  </si>
  <si>
    <t>Sparkfun</t>
  </si>
  <si>
    <t>DEV-16997</t>
  </si>
  <si>
    <t>U1</t>
  </si>
  <si>
    <t>D1</t>
  </si>
  <si>
    <t>R1</t>
  </si>
  <si>
    <t>SW1</t>
  </si>
  <si>
    <t>Senserion connectors</t>
  </si>
  <si>
    <t>Resistor</t>
  </si>
  <si>
    <t>Value</t>
  </si>
  <si>
    <t>1.2k</t>
  </si>
  <si>
    <t>2.7k</t>
  </si>
  <si>
    <t>10k</t>
  </si>
  <si>
    <t>500SSP1S1M6QEA</t>
  </si>
  <si>
    <t>1x24 Socket</t>
  </si>
  <si>
    <t>Barrel Jack</t>
  </si>
  <si>
    <t>Qwiic connector</t>
  </si>
  <si>
    <t>Switch</t>
  </si>
  <si>
    <t>LED 3mm</t>
  </si>
  <si>
    <t>Optional, Any comparable part is fine</t>
  </si>
  <si>
    <t>Molex 5055680681</t>
  </si>
  <si>
    <t>WM26835CT-ND</t>
  </si>
  <si>
    <t>EG2478-ND</t>
  </si>
  <si>
    <t>Optional; Be sure to cut solder jumper (JP1) if using switch</t>
  </si>
  <si>
    <t>732-5008-ND</t>
  </si>
  <si>
    <t>TOTAL</t>
  </si>
  <si>
    <t>92745A320</t>
  </si>
  <si>
    <t>Or try A32245-ND</t>
  </si>
  <si>
    <t>MFC Cables</t>
  </si>
  <si>
    <t>WM17189-ND</t>
  </si>
  <si>
    <t>455-SM04B-SRSS-TBCT-ND</t>
  </si>
  <si>
    <t>2171-QSPK18-1/4-U-ND</t>
  </si>
  <si>
    <t>1/4" Tubing Adptor for MFCs (10 pack)</t>
  </si>
  <si>
    <t>Sensirion MFM</t>
  </si>
  <si>
    <t>Helpful if using 1/4" OD Tubing; By default MFCs will work with 6mm OD tubing</t>
  </si>
  <si>
    <t>J1–2</t>
  </si>
  <si>
    <t>J3–5</t>
  </si>
  <si>
    <t>J6</t>
  </si>
  <si>
    <t>J7</t>
  </si>
  <si>
    <t>J8</t>
  </si>
  <si>
    <t>4-way RJ-45 Connector</t>
  </si>
  <si>
    <t>J11,J12,J19,J20</t>
  </si>
  <si>
    <t>J9–10, J13–18, J21–24</t>
  </si>
  <si>
    <t>R2,R8</t>
  </si>
  <si>
    <t>R3,R4,R9,R10</t>
  </si>
  <si>
    <t>R5,R7,R11,R13</t>
  </si>
  <si>
    <t>R6,R12</t>
  </si>
  <si>
    <t>Teensy 4.1 with Headers</t>
  </si>
  <si>
    <t>S7045-ND</t>
  </si>
  <si>
    <t>Datta Lab Humidity Chamber Controller: Part List</t>
  </si>
  <si>
    <t>1x12 Socket</t>
  </si>
  <si>
    <t>BNC Connector</t>
  </si>
  <si>
    <t xml:space="preserve">1x3 Header </t>
  </si>
  <si>
    <t>A19430-ND</t>
  </si>
  <si>
    <t>2k</t>
  </si>
  <si>
    <t>1649-SFM6000D-5SLM-ND</t>
  </si>
  <si>
    <t>Power Supply 24V DC 2A</t>
  </si>
  <si>
    <t>364-1286-ND</t>
  </si>
  <si>
    <t>151-1120-ND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</si>
</sst>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4"/>
      <color theme="1"/>
      <name val="Helvetica"/>
      <family val="2"/>
    </font>
    <font>
      <b/>
      <sz val="14"/>
      <color theme="1"/>
      <name val="Helvetica"/>
      <family val="2"/>
    </font>
    <font>
      <u/>
      <sz val="14"/>
      <color theme="10"/>
      <name val="Helvetica"/>
      <family val="2"/>
    </font>
    <font>
      <u/>
      <sz val="14"/>
      <color theme="11"/>
      <name val="Helvetica"/>
      <family val="2"/>
    </font>
    <font>
      <sz val="14"/>
      <color rgb="FF000000"/>
      <name val="Helvetica"/>
      <family val="2"/>
    </font>
    <font>
      <sz val="8"/>
      <name val="Helvetica"/>
      <family val="2"/>
    </font>
    <font>
      <sz val="2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/>
    </xf>
    <xf numFmtId="164" fontId="4" fillId="0" borderId="0" xfId="0" applyNumberFormat="1" applyFont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6"/>
  <sheetViews>
    <sheetView tabSelected="1" zoomScale="125" zoomScaleNormal="125" zoomScalePageLayoutView="125" workbookViewId="0">
      <pane ySplit="4" topLeftCell="A5" activePane="bottomLeft" state="frozen"/>
      <selection pane="bottomLeft" activeCell="I16" sqref="I16"/>
    </sheetView>
  </sheetViews>
  <sheetFormatPr baseColWidth="10" defaultRowHeight="18" x14ac:dyDescent="0.2"/>
  <cols>
    <col min="1" max="1" width="5" customWidth="1"/>
    <col min="2" max="2" width="23.625" style="7" customWidth="1"/>
    <col min="3" max="3" width="23.875" customWidth="1"/>
    <col min="4" max="4" width="18" customWidth="1"/>
    <col min="6" max="6" width="25.125" customWidth="1"/>
    <col min="7" max="7" width="3.875" customWidth="1"/>
    <col min="8" max="9" width="10.625" style="8"/>
    <col min="10" max="10" width="3.375" customWidth="1"/>
  </cols>
  <sheetData>
    <row r="2" spans="1:11" ht="31" x14ac:dyDescent="0.35">
      <c r="C2" s="6" t="s">
        <v>67</v>
      </c>
      <c r="D2" s="6"/>
    </row>
    <row r="4" spans="1:11" s="1" customFormat="1" x14ac:dyDescent="0.2">
      <c r="A4" s="1" t="s">
        <v>5</v>
      </c>
      <c r="B4" s="5" t="s">
        <v>16</v>
      </c>
      <c r="C4" s="1" t="s">
        <v>5</v>
      </c>
      <c r="D4" s="1" t="s">
        <v>27</v>
      </c>
      <c r="E4" s="1" t="s">
        <v>0</v>
      </c>
      <c r="F4" s="1" t="s">
        <v>4</v>
      </c>
      <c r="G4" s="1" t="s">
        <v>1</v>
      </c>
      <c r="H4" s="2" t="s">
        <v>2</v>
      </c>
      <c r="I4" s="2" t="s">
        <v>3</v>
      </c>
      <c r="K4" s="1" t="s">
        <v>7</v>
      </c>
    </row>
    <row r="6" spans="1:11" x14ac:dyDescent="0.2">
      <c r="A6">
        <v>1</v>
      </c>
      <c r="C6" t="s">
        <v>17</v>
      </c>
      <c r="E6" t="s">
        <v>8</v>
      </c>
      <c r="F6" t="s">
        <v>18</v>
      </c>
      <c r="G6">
        <v>8</v>
      </c>
      <c r="H6" s="8">
        <v>372</v>
      </c>
      <c r="I6" s="8">
        <f>G6*H6</f>
        <v>2976</v>
      </c>
    </row>
    <row r="7" spans="1:11" x14ac:dyDescent="0.2">
      <c r="A7">
        <v>2</v>
      </c>
      <c r="C7" t="s">
        <v>51</v>
      </c>
      <c r="E7" t="s">
        <v>8</v>
      </c>
      <c r="F7" t="s">
        <v>73</v>
      </c>
      <c r="G7">
        <v>4</v>
      </c>
      <c r="H7" s="8">
        <v>218</v>
      </c>
      <c r="I7" s="8">
        <f>G7*H7</f>
        <v>872</v>
      </c>
    </row>
    <row r="8" spans="1:11" x14ac:dyDescent="0.2">
      <c r="A8">
        <v>3</v>
      </c>
      <c r="C8" t="s">
        <v>46</v>
      </c>
      <c r="E8" t="s">
        <v>8</v>
      </c>
      <c r="F8" t="s">
        <v>47</v>
      </c>
      <c r="G8">
        <v>12</v>
      </c>
      <c r="H8" s="8">
        <v>2.5</v>
      </c>
      <c r="I8" s="8">
        <f>G8*H8</f>
        <v>30</v>
      </c>
    </row>
    <row r="9" spans="1:11" x14ac:dyDescent="0.2">
      <c r="A9">
        <v>4</v>
      </c>
      <c r="C9" t="s">
        <v>50</v>
      </c>
      <c r="E9" t="s">
        <v>8</v>
      </c>
      <c r="F9" t="s">
        <v>49</v>
      </c>
      <c r="G9">
        <v>3</v>
      </c>
      <c r="H9" s="8">
        <v>24.3</v>
      </c>
      <c r="I9" s="8">
        <f>G9*H9</f>
        <v>72.900000000000006</v>
      </c>
      <c r="K9" t="s">
        <v>52</v>
      </c>
    </row>
    <row r="12" spans="1:11" x14ac:dyDescent="0.2">
      <c r="A12">
        <v>5</v>
      </c>
      <c r="C12" t="s">
        <v>6</v>
      </c>
      <c r="E12" t="s">
        <v>14</v>
      </c>
      <c r="G12">
        <v>1</v>
      </c>
      <c r="H12" s="8">
        <v>33</v>
      </c>
      <c r="I12" s="8">
        <f t="shared" ref="I12:I31" si="0">G12*H12</f>
        <v>33</v>
      </c>
      <c r="K12" t="s">
        <v>15</v>
      </c>
    </row>
    <row r="14" spans="1:11" x14ac:dyDescent="0.2">
      <c r="A14">
        <v>6</v>
      </c>
      <c r="B14" s="4" t="s">
        <v>22</v>
      </c>
      <c r="C14" t="s">
        <v>36</v>
      </c>
      <c r="E14" s="3" t="s">
        <v>8</v>
      </c>
      <c r="F14" t="s">
        <v>42</v>
      </c>
      <c r="G14">
        <v>1</v>
      </c>
      <c r="H14" s="8">
        <v>0.15</v>
      </c>
      <c r="I14" s="8">
        <f t="shared" si="0"/>
        <v>0.15</v>
      </c>
      <c r="K14" t="s">
        <v>37</v>
      </c>
    </row>
    <row r="15" spans="1:11" x14ac:dyDescent="0.2">
      <c r="A15">
        <v>7</v>
      </c>
      <c r="B15" s="4" t="s">
        <v>53</v>
      </c>
      <c r="C15" t="s">
        <v>69</v>
      </c>
      <c r="E15" s="3" t="s">
        <v>8</v>
      </c>
      <c r="F15" t="s">
        <v>11</v>
      </c>
      <c r="G15">
        <v>2</v>
      </c>
      <c r="H15" s="8">
        <v>4.6900000000000004</v>
      </c>
      <c r="I15" s="8">
        <f t="shared" si="0"/>
        <v>9.3800000000000008</v>
      </c>
      <c r="K15" t="s">
        <v>45</v>
      </c>
    </row>
    <row r="16" spans="1:11" x14ac:dyDescent="0.2">
      <c r="A16">
        <v>8</v>
      </c>
      <c r="B16" s="4" t="s">
        <v>54</v>
      </c>
      <c r="C16" t="s">
        <v>70</v>
      </c>
      <c r="E16" t="s">
        <v>8</v>
      </c>
      <c r="F16" t="s">
        <v>71</v>
      </c>
      <c r="G16">
        <v>3</v>
      </c>
      <c r="I16" s="8">
        <f t="shared" si="0"/>
        <v>0</v>
      </c>
    </row>
    <row r="17" spans="1:11" x14ac:dyDescent="0.2">
      <c r="A17">
        <v>9</v>
      </c>
      <c r="B17" s="4" t="s">
        <v>55</v>
      </c>
      <c r="C17" t="s">
        <v>68</v>
      </c>
      <c r="E17" s="3" t="s">
        <v>8</v>
      </c>
      <c r="F17" t="s">
        <v>66</v>
      </c>
      <c r="G17">
        <v>1</v>
      </c>
      <c r="I17" s="8">
        <f t="shared" si="0"/>
        <v>0</v>
      </c>
    </row>
    <row r="18" spans="1:11" x14ac:dyDescent="0.2">
      <c r="A18">
        <v>10</v>
      </c>
      <c r="B18" s="4" t="s">
        <v>56</v>
      </c>
      <c r="C18" t="s">
        <v>33</v>
      </c>
      <c r="E18" s="3" t="s">
        <v>8</v>
      </c>
      <c r="F18" s="3" t="s">
        <v>12</v>
      </c>
      <c r="G18" s="3">
        <v>1</v>
      </c>
      <c r="H18" s="10">
        <v>0.61</v>
      </c>
      <c r="I18" s="8">
        <f t="shared" si="0"/>
        <v>0.61</v>
      </c>
    </row>
    <row r="19" spans="1:11" x14ac:dyDescent="0.2">
      <c r="A19">
        <v>11</v>
      </c>
      <c r="B19" s="4" t="s">
        <v>57</v>
      </c>
      <c r="C19" t="s">
        <v>58</v>
      </c>
      <c r="E19" s="3" t="s">
        <v>8</v>
      </c>
      <c r="F19" s="3" t="s">
        <v>76</v>
      </c>
      <c r="G19">
        <v>1</v>
      </c>
      <c r="H19" s="8">
        <v>4.12</v>
      </c>
      <c r="I19" s="8">
        <f t="shared" si="0"/>
        <v>4.12</v>
      </c>
    </row>
    <row r="20" spans="1:11" x14ac:dyDescent="0.2">
      <c r="A20">
        <v>12</v>
      </c>
      <c r="B20" s="4" t="s">
        <v>60</v>
      </c>
      <c r="C20" t="s">
        <v>25</v>
      </c>
      <c r="D20" t="s">
        <v>38</v>
      </c>
      <c r="E20" s="3" t="s">
        <v>8</v>
      </c>
      <c r="F20" t="s">
        <v>39</v>
      </c>
      <c r="G20">
        <v>12</v>
      </c>
      <c r="H20" s="8">
        <v>1.02</v>
      </c>
      <c r="I20" s="8">
        <f t="shared" si="0"/>
        <v>12.24</v>
      </c>
    </row>
    <row r="21" spans="1:11" x14ac:dyDescent="0.2">
      <c r="A21">
        <v>13</v>
      </c>
      <c r="B21" s="4" t="s">
        <v>59</v>
      </c>
      <c r="C21" t="s">
        <v>34</v>
      </c>
      <c r="E21" s="3" t="s">
        <v>8</v>
      </c>
      <c r="F21" t="s">
        <v>48</v>
      </c>
      <c r="G21">
        <v>1</v>
      </c>
      <c r="H21" s="8">
        <v>0.52</v>
      </c>
      <c r="I21" s="8">
        <f t="shared" si="0"/>
        <v>0.52</v>
      </c>
      <c r="K21" t="s">
        <v>45</v>
      </c>
    </row>
    <row r="22" spans="1:11" x14ac:dyDescent="0.2">
      <c r="A22">
        <v>14</v>
      </c>
      <c r="B22" s="4" t="s">
        <v>23</v>
      </c>
      <c r="C22" t="s">
        <v>26</v>
      </c>
      <c r="D22" s="9" t="s">
        <v>72</v>
      </c>
      <c r="E22" s="3"/>
      <c r="G22">
        <v>1</v>
      </c>
      <c r="I22" s="8">
        <f t="shared" si="0"/>
        <v>0</v>
      </c>
    </row>
    <row r="23" spans="1:11" x14ac:dyDescent="0.2">
      <c r="A23">
        <v>15</v>
      </c>
      <c r="B23" s="4" t="s">
        <v>61</v>
      </c>
      <c r="C23" t="s">
        <v>26</v>
      </c>
      <c r="D23" s="9" t="s">
        <v>28</v>
      </c>
      <c r="E23" s="3"/>
      <c r="G23">
        <v>2</v>
      </c>
      <c r="I23" s="8">
        <f t="shared" si="0"/>
        <v>0</v>
      </c>
    </row>
    <row r="24" spans="1:11" x14ac:dyDescent="0.2">
      <c r="A24">
        <v>16</v>
      </c>
      <c r="B24" s="4" t="s">
        <v>62</v>
      </c>
      <c r="C24" t="s">
        <v>26</v>
      </c>
      <c r="D24" s="9" t="s">
        <v>30</v>
      </c>
      <c r="E24" s="3"/>
      <c r="G24">
        <v>4</v>
      </c>
      <c r="I24" s="8">
        <f t="shared" si="0"/>
        <v>0</v>
      </c>
    </row>
    <row r="25" spans="1:11" x14ac:dyDescent="0.2">
      <c r="A25">
        <v>17</v>
      </c>
      <c r="B25" s="4" t="s">
        <v>63</v>
      </c>
      <c r="C25" t="s">
        <v>26</v>
      </c>
      <c r="D25" s="9">
        <v>560</v>
      </c>
      <c r="G25">
        <v>4</v>
      </c>
      <c r="I25" s="8">
        <f t="shared" si="0"/>
        <v>0</v>
      </c>
    </row>
    <row r="26" spans="1:11" x14ac:dyDescent="0.2">
      <c r="A26">
        <v>18</v>
      </c>
      <c r="B26" s="4" t="s">
        <v>64</v>
      </c>
      <c r="C26" t="s">
        <v>26</v>
      </c>
      <c r="D26" s="9" t="s">
        <v>29</v>
      </c>
      <c r="G26">
        <v>2</v>
      </c>
      <c r="I26" s="8">
        <f t="shared" si="0"/>
        <v>0</v>
      </c>
    </row>
    <row r="27" spans="1:11" x14ac:dyDescent="0.2">
      <c r="A27">
        <v>19</v>
      </c>
      <c r="B27" s="4" t="s">
        <v>24</v>
      </c>
      <c r="C27" t="s">
        <v>35</v>
      </c>
      <c r="D27" t="s">
        <v>31</v>
      </c>
      <c r="E27" s="3" t="s">
        <v>8</v>
      </c>
      <c r="F27" t="s">
        <v>40</v>
      </c>
      <c r="G27">
        <v>1</v>
      </c>
      <c r="H27" s="8">
        <v>3.92</v>
      </c>
      <c r="I27" s="8">
        <f t="shared" si="0"/>
        <v>3.92</v>
      </c>
      <c r="K27" t="s">
        <v>41</v>
      </c>
    </row>
    <row r="28" spans="1:11" x14ac:dyDescent="0.2">
      <c r="A28">
        <v>20</v>
      </c>
      <c r="B28" s="4" t="s">
        <v>21</v>
      </c>
      <c r="C28" t="s">
        <v>65</v>
      </c>
      <c r="E28" t="s">
        <v>19</v>
      </c>
      <c r="F28" t="s">
        <v>20</v>
      </c>
      <c r="G28">
        <v>1</v>
      </c>
      <c r="H28" s="8">
        <v>26.8</v>
      </c>
      <c r="I28" s="8">
        <f t="shared" si="0"/>
        <v>26.8</v>
      </c>
    </row>
    <row r="29" spans="1:11" x14ac:dyDescent="0.2">
      <c r="A29">
        <v>21</v>
      </c>
      <c r="B29" s="4"/>
      <c r="C29" t="s">
        <v>32</v>
      </c>
      <c r="E29" s="3" t="s">
        <v>8</v>
      </c>
      <c r="F29" t="s">
        <v>13</v>
      </c>
      <c r="G29">
        <v>2</v>
      </c>
      <c r="H29" s="8">
        <v>1.35</v>
      </c>
      <c r="I29" s="8">
        <f t="shared" si="0"/>
        <v>2.7</v>
      </c>
    </row>
    <row r="31" spans="1:11" x14ac:dyDescent="0.2">
      <c r="A31">
        <v>22</v>
      </c>
      <c r="C31" t="s">
        <v>74</v>
      </c>
      <c r="E31" s="3" t="s">
        <v>8</v>
      </c>
      <c r="F31" t="s">
        <v>75</v>
      </c>
      <c r="G31">
        <v>1</v>
      </c>
      <c r="H31" s="8">
        <v>19.38</v>
      </c>
      <c r="I31" s="8">
        <f t="shared" si="0"/>
        <v>19.38</v>
      </c>
    </row>
    <row r="33" spans="1:9" x14ac:dyDescent="0.2">
      <c r="A33">
        <v>23</v>
      </c>
      <c r="C33" t="s">
        <v>9</v>
      </c>
      <c r="E33" t="s">
        <v>10</v>
      </c>
      <c r="F33" t="s">
        <v>44</v>
      </c>
      <c r="G33">
        <v>4</v>
      </c>
      <c r="H33" s="8">
        <v>0.63</v>
      </c>
      <c r="I33" s="8">
        <f t="shared" ref="I33" si="1">G33*H33</f>
        <v>2.52</v>
      </c>
    </row>
    <row r="36" spans="1:9" x14ac:dyDescent="0.2">
      <c r="H36" s="2" t="s">
        <v>43</v>
      </c>
      <c r="I36" s="2">
        <f>SUM(I6:I35)</f>
        <v>4066.2400000000002</v>
      </c>
    </row>
  </sheetData>
  <phoneticPr fontId="5" type="noConversion"/>
  <pageMargins left="0.75" right="0.75" top="1" bottom="1" header="0.5" footer="0.5"/>
  <pageSetup scale="47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Mazor</dc:creator>
  <cp:lastModifiedBy>Mazor, Ofer</cp:lastModifiedBy>
  <cp:lastPrinted>2025-01-13T19:20:31Z</cp:lastPrinted>
  <dcterms:created xsi:type="dcterms:W3CDTF">2015-02-24T19:52:27Z</dcterms:created>
  <dcterms:modified xsi:type="dcterms:W3CDTF">2026-01-14T20:49:52Z</dcterms:modified>
</cp:coreProperties>
</file>